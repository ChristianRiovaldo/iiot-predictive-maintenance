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GM\ELINS\ERC\hilirisasi_iiot\"/>
    </mc:Choice>
  </mc:AlternateContent>
  <xr:revisionPtr revIDLastSave="0" documentId="13_ncr:1_{EE4A7B36-C638-4D02-978A-137E44923FD3}" xr6:coauthVersionLast="47" xr6:coauthVersionMax="47" xr10:uidLastSave="{00000000-0000-0000-0000-000000000000}"/>
  <bookViews>
    <workbookView xWindow="-108" yWindow="-108" windowWidth="23256" windowHeight="12456" activeTab="1" xr2:uid="{B3BE7FB3-68F3-465A-A935-54A0BCDCEACF}"/>
  </bookViews>
  <sheets>
    <sheet name="TOF" sheetId="1" r:id="rId1"/>
    <sheet name="INA2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J4" i="2"/>
  <c r="I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F26" i="1"/>
  <c r="M4" i="1"/>
  <c r="K4" i="1"/>
  <c r="J4" i="1"/>
  <c r="G21" i="1"/>
  <c r="H21" i="1" s="1"/>
  <c r="F2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E21" i="1"/>
  <c r="F4" i="1"/>
  <c r="F5" i="1"/>
  <c r="D21" i="1" s="1"/>
  <c r="F6" i="1"/>
  <c r="F7" i="1"/>
  <c r="F8" i="1"/>
  <c r="F9" i="1"/>
  <c r="F10" i="1"/>
  <c r="F11" i="1"/>
  <c r="F12" i="1"/>
  <c r="F13" i="1"/>
  <c r="F14" i="1"/>
  <c r="F15" i="1"/>
  <c r="F16" i="1"/>
  <c r="F17" i="1"/>
  <c r="C21" i="1"/>
</calcChain>
</file>

<file path=xl/sharedStrings.xml><?xml version="1.0" encoding="utf-8"?>
<sst xmlns="http://schemas.openxmlformats.org/spreadsheetml/2006/main" count="51" uniqueCount="48">
  <si>
    <t>No</t>
  </si>
  <si>
    <t>134-138</t>
  </si>
  <si>
    <t>188-190</t>
  </si>
  <si>
    <t>244-251</t>
  </si>
  <si>
    <t>297-304</t>
  </si>
  <si>
    <t>340-346</t>
  </si>
  <si>
    <t>391-396</t>
  </si>
  <si>
    <t>448-459</t>
  </si>
  <si>
    <t>498-504</t>
  </si>
  <si>
    <t>913-955</t>
  </si>
  <si>
    <t>848-872</t>
  </si>
  <si>
    <t>749-768</t>
  </si>
  <si>
    <t>644-655</t>
  </si>
  <si>
    <t>551-558</t>
  </si>
  <si>
    <t>1020-1074</t>
  </si>
  <si>
    <t>Terbaca (mm)</t>
  </si>
  <si>
    <t>Aktual (mm)</t>
  </si>
  <si>
    <t>Rata-Rata Terbaca (mm)</t>
  </si>
  <si>
    <t>n</t>
  </si>
  <si>
    <t>sigma x</t>
  </si>
  <si>
    <t>sigma x^2</t>
  </si>
  <si>
    <t>Rata-Rata Terbaca Kuadrat (mm)</t>
  </si>
  <si>
    <t>x = Rata-Rata Terbaca</t>
  </si>
  <si>
    <t>y = Aktual</t>
  </si>
  <si>
    <t>sigma y</t>
  </si>
  <si>
    <t>sigma x*y</t>
  </si>
  <si>
    <t>Aktual dikali Rata-Rata Terbaca (mm)</t>
  </si>
  <si>
    <t>m gradien</t>
  </si>
  <si>
    <t>Persamaan kalibrasi: y = mx + b</t>
  </si>
  <si>
    <t>b</t>
  </si>
  <si>
    <t>y = 0,992x - 43,297</t>
  </si>
  <si>
    <t>m</t>
  </si>
  <si>
    <t>y</t>
  </si>
  <si>
    <t>x</t>
  </si>
  <si>
    <t>Masukkan x =&gt;</t>
  </si>
  <si>
    <t>V = 5V</t>
  </si>
  <si>
    <t>R (ohm)</t>
  </si>
  <si>
    <t>I Ref (mA)</t>
  </si>
  <si>
    <t>I Ref = V/R</t>
  </si>
  <si>
    <t>I Terbaca (mA)</t>
  </si>
  <si>
    <t>x = I Terbaca</t>
  </si>
  <si>
    <t>y = I Ref</t>
  </si>
  <si>
    <t>c</t>
  </si>
  <si>
    <t>Persamaan Kalibrasi: y = mx + c</t>
  </si>
  <si>
    <t>y = 1,2469x + 0,0012</t>
  </si>
  <si>
    <t>m = (y2 - y1) / (x2 - x1)</t>
  </si>
  <si>
    <t>c = y - mx</t>
  </si>
  <si>
    <t>PERHITUNGAN HASIL KALIBRASI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</si>
</sst>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04B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3AC6B17-E74D-069B-6682-E36CAFFDDF9F}"/>
            </a:ext>
          </a:extLst>
        </xdr:cNvPr>
        <xdr:cNvSpPr>
          <a:spLocks noChangeAspect="1" noChangeArrowheads="1"/>
        </xdr:cNvSpPr>
      </xdr:nvSpPr>
      <xdr:spPr bwMode="auto">
        <a:xfrm>
          <a:off x="665988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424151</xdr:colOff>
      <xdr:row>22</xdr:row>
      <xdr:rowOff>162498</xdr:rowOff>
    </xdr:from>
    <xdr:ext cx="1329368" cy="4067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12699BA-5198-77E1-33EE-84948338ADFD}"/>
                </a:ext>
              </a:extLst>
            </xdr:cNvPr>
            <xdr:cNvSpPr txBox="1"/>
          </xdr:nvSpPr>
          <xdr:spPr>
            <a:xfrm>
              <a:off x="7089356" y="4202016"/>
              <a:ext cx="1329368" cy="406707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</m:d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l-GR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Σ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12699BA-5198-77E1-33EE-84948338ADFD}"/>
                </a:ext>
              </a:extLst>
            </xdr:cNvPr>
            <xdr:cNvSpPr txBox="1"/>
          </xdr:nvSpPr>
          <xdr:spPr>
            <a:xfrm>
              <a:off x="7089356" y="4202016"/>
              <a:ext cx="1329368" cy="406707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𝑚=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𝑥𝑦−(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𝑦))/(𝑛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𝑥^2−(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𝑥)^2 )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6</xdr:col>
      <xdr:colOff>2076679</xdr:colOff>
      <xdr:row>22</xdr:row>
      <xdr:rowOff>180862</xdr:rowOff>
    </xdr:from>
    <xdr:ext cx="1010726" cy="3699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5281556-294D-691A-F0EF-1CB42794ABC0}"/>
                </a:ext>
              </a:extLst>
            </xdr:cNvPr>
            <xdr:cNvSpPr txBox="1"/>
          </xdr:nvSpPr>
          <xdr:spPr>
            <a:xfrm>
              <a:off x="8741884" y="4220380"/>
              <a:ext cx="1010726" cy="369981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5281556-294D-691A-F0EF-1CB42794ABC0}"/>
                </a:ext>
              </a:extLst>
            </xdr:cNvPr>
            <xdr:cNvSpPr txBox="1"/>
          </xdr:nvSpPr>
          <xdr:spPr>
            <a:xfrm>
              <a:off x="8741884" y="4220380"/>
              <a:ext cx="1010726" cy="369981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𝑦−𝑚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𝑥)/𝑛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0B47-B818-4966-A6B4-83CC4BF9437C}">
  <dimension ref="B3:M26"/>
  <sheetViews>
    <sheetView zoomScale="91" workbookViewId="0">
      <selection activeCell="G27" sqref="G27"/>
    </sheetView>
  </sheetViews>
  <sheetFormatPr defaultRowHeight="14.4" x14ac:dyDescent="0.3"/>
  <cols>
    <col min="2" max="2" width="5.21875" customWidth="1"/>
    <col min="3" max="3" width="13.109375" customWidth="1"/>
    <col min="4" max="4" width="14.6640625" customWidth="1"/>
    <col min="5" max="5" width="22.21875" customWidth="1"/>
    <col min="6" max="6" width="33" customWidth="1"/>
    <col min="7" max="7" width="33.6640625" customWidth="1"/>
    <col min="8" max="8" width="11.21875" customWidth="1"/>
    <col min="9" max="9" width="6.21875" customWidth="1"/>
    <col min="10" max="10" width="10.33203125" customWidth="1"/>
    <col min="11" max="11" width="11.21875" customWidth="1"/>
    <col min="12" max="12" width="9.6640625" customWidth="1"/>
    <col min="13" max="13" width="11.109375" customWidth="1"/>
    <col min="14" max="14" width="13.5546875" customWidth="1"/>
  </cols>
  <sheetData>
    <row r="3" spans="2:13" x14ac:dyDescent="0.3">
      <c r="B3" s="2" t="s">
        <v>0</v>
      </c>
      <c r="C3" s="2" t="s">
        <v>16</v>
      </c>
      <c r="D3" s="2" t="s">
        <v>15</v>
      </c>
      <c r="E3" s="2" t="s">
        <v>17</v>
      </c>
      <c r="F3" s="5" t="s">
        <v>21</v>
      </c>
      <c r="G3" s="5" t="s">
        <v>26</v>
      </c>
      <c r="J3" t="s">
        <v>31</v>
      </c>
      <c r="K3" t="s">
        <v>29</v>
      </c>
      <c r="L3" t="s">
        <v>33</v>
      </c>
      <c r="M3" t="s">
        <v>32</v>
      </c>
    </row>
    <row r="4" spans="2:13" x14ac:dyDescent="0.3">
      <c r="B4" s="1">
        <v>1</v>
      </c>
      <c r="C4" s="1">
        <v>100</v>
      </c>
      <c r="D4" s="1" t="s">
        <v>1</v>
      </c>
      <c r="E4" s="3">
        <v>136</v>
      </c>
      <c r="F4" s="3">
        <f>E4*E4</f>
        <v>18496</v>
      </c>
      <c r="G4" s="3">
        <f>C4*E4</f>
        <v>13600</v>
      </c>
      <c r="J4">
        <f>(C17-C4)/(E17-E4)</f>
        <v>0.98792535675082327</v>
      </c>
      <c r="K4">
        <f>100-(0.987925*136)</f>
        <v>-34.357799999999997</v>
      </c>
      <c r="L4">
        <v>501</v>
      </c>
      <c r="M4">
        <f>L4*J4+K4</f>
        <v>460.59280373216245</v>
      </c>
    </row>
    <row r="5" spans="2:13" x14ac:dyDescent="0.3">
      <c r="B5" s="1">
        <v>2</v>
      </c>
      <c r="C5" s="1">
        <v>150</v>
      </c>
      <c r="D5" s="1" t="s">
        <v>2</v>
      </c>
      <c r="E5" s="3">
        <v>189</v>
      </c>
      <c r="F5" s="3">
        <f t="shared" ref="F5:F17" si="0">E5*E5</f>
        <v>35721</v>
      </c>
      <c r="G5" s="3">
        <f t="shared" ref="G5:G17" si="1">C5*E5</f>
        <v>28350</v>
      </c>
      <c r="H5" s="4"/>
      <c r="I5" s="4"/>
      <c r="J5" s="4"/>
      <c r="K5" s="4"/>
      <c r="L5" s="4"/>
      <c r="M5" s="4"/>
    </row>
    <row r="6" spans="2:13" x14ac:dyDescent="0.3">
      <c r="B6" s="1">
        <v>3</v>
      </c>
      <c r="C6" s="1">
        <v>200</v>
      </c>
      <c r="D6" s="1" t="s">
        <v>3</v>
      </c>
      <c r="E6" s="3">
        <v>247.5</v>
      </c>
      <c r="F6" s="3">
        <f t="shared" si="0"/>
        <v>61256.25</v>
      </c>
      <c r="G6" s="3">
        <f t="shared" si="1"/>
        <v>49500</v>
      </c>
      <c r="H6" s="4"/>
      <c r="I6" s="4"/>
      <c r="J6" s="4"/>
      <c r="K6" s="4"/>
      <c r="L6" s="4"/>
      <c r="M6" s="4"/>
    </row>
    <row r="7" spans="2:13" x14ac:dyDescent="0.3">
      <c r="B7" s="1">
        <v>4</v>
      </c>
      <c r="C7" s="1">
        <v>250</v>
      </c>
      <c r="D7" s="1" t="s">
        <v>4</v>
      </c>
      <c r="E7" s="3">
        <v>300.5</v>
      </c>
      <c r="F7" s="3">
        <f t="shared" si="0"/>
        <v>90300.25</v>
      </c>
      <c r="G7" s="3">
        <f t="shared" si="1"/>
        <v>75125</v>
      </c>
      <c r="H7" s="4"/>
      <c r="I7" s="4"/>
      <c r="J7" s="4"/>
      <c r="K7" s="4"/>
      <c r="L7" s="4"/>
      <c r="M7" s="4"/>
    </row>
    <row r="8" spans="2:13" x14ac:dyDescent="0.3">
      <c r="B8" s="1">
        <v>5</v>
      </c>
      <c r="C8" s="1">
        <v>300</v>
      </c>
      <c r="D8" s="1" t="s">
        <v>5</v>
      </c>
      <c r="E8" s="3">
        <v>343</v>
      </c>
      <c r="F8" s="3">
        <f t="shared" si="0"/>
        <v>117649</v>
      </c>
      <c r="G8" s="3">
        <f t="shared" si="1"/>
        <v>102900</v>
      </c>
      <c r="H8" s="4"/>
      <c r="I8" s="4"/>
      <c r="J8" s="4"/>
      <c r="K8" s="4"/>
      <c r="L8" s="4"/>
      <c r="M8" s="4"/>
    </row>
    <row r="9" spans="2:13" x14ac:dyDescent="0.3">
      <c r="B9" s="1">
        <v>6</v>
      </c>
      <c r="C9" s="1">
        <v>350</v>
      </c>
      <c r="D9" s="1" t="s">
        <v>6</v>
      </c>
      <c r="E9" s="3">
        <v>393.5</v>
      </c>
      <c r="F9" s="3">
        <f t="shared" si="0"/>
        <v>154842.25</v>
      </c>
      <c r="G9" s="3">
        <f t="shared" si="1"/>
        <v>137725</v>
      </c>
      <c r="H9" s="4"/>
      <c r="I9" s="4"/>
      <c r="J9" s="4"/>
      <c r="K9" s="4"/>
      <c r="L9" s="4"/>
      <c r="M9" s="4"/>
    </row>
    <row r="10" spans="2:13" x14ac:dyDescent="0.3">
      <c r="B10" s="1">
        <v>7</v>
      </c>
      <c r="C10" s="1">
        <v>400</v>
      </c>
      <c r="D10" s="1" t="s">
        <v>7</v>
      </c>
      <c r="E10" s="3">
        <v>453.5</v>
      </c>
      <c r="F10" s="3">
        <f t="shared" si="0"/>
        <v>205662.25</v>
      </c>
      <c r="G10" s="3">
        <f t="shared" si="1"/>
        <v>181400</v>
      </c>
      <c r="H10" s="4"/>
      <c r="I10" s="4"/>
      <c r="J10" s="4"/>
      <c r="K10" s="4"/>
      <c r="L10" s="4"/>
      <c r="M10" s="4"/>
    </row>
    <row r="11" spans="2:13" x14ac:dyDescent="0.3">
      <c r="B11" s="1">
        <v>8</v>
      </c>
      <c r="C11" s="1">
        <v>450</v>
      </c>
      <c r="D11" s="1" t="s">
        <v>8</v>
      </c>
      <c r="E11" s="3">
        <v>501</v>
      </c>
      <c r="F11" s="3">
        <f t="shared" si="0"/>
        <v>251001</v>
      </c>
      <c r="G11" s="3">
        <f t="shared" si="1"/>
        <v>225450</v>
      </c>
      <c r="H11" s="4"/>
      <c r="I11" s="4"/>
      <c r="J11" s="4"/>
      <c r="K11" s="4"/>
      <c r="L11" s="4"/>
      <c r="M11" s="4"/>
    </row>
    <row r="12" spans="2:13" x14ac:dyDescent="0.3">
      <c r="B12" s="1">
        <v>9</v>
      </c>
      <c r="C12" s="1">
        <v>500</v>
      </c>
      <c r="D12" s="1" t="s">
        <v>13</v>
      </c>
      <c r="E12" s="3">
        <v>554.5</v>
      </c>
      <c r="F12" s="3">
        <f t="shared" si="0"/>
        <v>307470.25</v>
      </c>
      <c r="G12" s="3">
        <f t="shared" si="1"/>
        <v>277250</v>
      </c>
      <c r="H12" s="4"/>
      <c r="I12" s="4"/>
      <c r="J12" s="4"/>
      <c r="K12" s="4"/>
      <c r="L12" s="4"/>
      <c r="M12" s="4"/>
    </row>
    <row r="13" spans="2:13" x14ac:dyDescent="0.3">
      <c r="B13" s="1">
        <v>10</v>
      </c>
      <c r="C13" s="1">
        <v>600</v>
      </c>
      <c r="D13" s="1" t="s">
        <v>12</v>
      </c>
      <c r="E13" s="3">
        <v>649.5</v>
      </c>
      <c r="F13" s="3">
        <f t="shared" si="0"/>
        <v>421850.25</v>
      </c>
      <c r="G13" s="3">
        <f t="shared" si="1"/>
        <v>389700</v>
      </c>
      <c r="H13" s="4"/>
      <c r="I13" s="4"/>
      <c r="J13" s="4"/>
      <c r="K13" s="4"/>
      <c r="L13" s="4"/>
      <c r="M13" s="4"/>
    </row>
    <row r="14" spans="2:13" x14ac:dyDescent="0.3">
      <c r="B14" s="1">
        <v>11</v>
      </c>
      <c r="C14" s="1">
        <v>700</v>
      </c>
      <c r="D14" s="1" t="s">
        <v>11</v>
      </c>
      <c r="E14" s="3">
        <v>758.5</v>
      </c>
      <c r="F14" s="3">
        <f t="shared" si="0"/>
        <v>575322.25</v>
      </c>
      <c r="G14" s="3">
        <f t="shared" si="1"/>
        <v>530950</v>
      </c>
      <c r="H14" s="4"/>
      <c r="I14" s="4"/>
      <c r="J14" s="4"/>
      <c r="K14" s="4"/>
      <c r="L14" s="4"/>
      <c r="M14" s="4"/>
    </row>
    <row r="15" spans="2:13" x14ac:dyDescent="0.3">
      <c r="B15" s="1">
        <v>12</v>
      </c>
      <c r="C15" s="1">
        <v>800</v>
      </c>
      <c r="D15" s="1" t="s">
        <v>10</v>
      </c>
      <c r="E15" s="3">
        <v>860</v>
      </c>
      <c r="F15" s="3">
        <f t="shared" si="0"/>
        <v>739600</v>
      </c>
      <c r="G15" s="3">
        <f t="shared" si="1"/>
        <v>688000</v>
      </c>
      <c r="H15" s="4"/>
      <c r="I15" s="4"/>
      <c r="J15" s="4"/>
      <c r="K15" s="4"/>
      <c r="L15" s="4"/>
      <c r="M15" s="4"/>
    </row>
    <row r="16" spans="2:13" x14ac:dyDescent="0.3">
      <c r="B16" s="1">
        <v>13</v>
      </c>
      <c r="C16" s="1">
        <v>900</v>
      </c>
      <c r="D16" s="1" t="s">
        <v>9</v>
      </c>
      <c r="E16" s="3">
        <v>934</v>
      </c>
      <c r="F16" s="3">
        <f t="shared" si="0"/>
        <v>872356</v>
      </c>
      <c r="G16" s="3">
        <f t="shared" si="1"/>
        <v>840600</v>
      </c>
      <c r="H16" s="4"/>
      <c r="I16" s="4"/>
      <c r="J16" s="4"/>
      <c r="K16" s="4"/>
      <c r="L16" s="4"/>
      <c r="M16" s="4"/>
    </row>
    <row r="17" spans="2:13" x14ac:dyDescent="0.3">
      <c r="B17" s="1">
        <v>14</v>
      </c>
      <c r="C17" s="1">
        <v>1000</v>
      </c>
      <c r="D17" s="1" t="s">
        <v>14</v>
      </c>
      <c r="E17" s="3">
        <v>1047</v>
      </c>
      <c r="F17" s="3">
        <f t="shared" si="0"/>
        <v>1096209</v>
      </c>
      <c r="G17" s="3">
        <f t="shared" si="1"/>
        <v>1047000</v>
      </c>
      <c r="H17" s="4"/>
      <c r="I17" s="4"/>
      <c r="J17" s="4"/>
      <c r="K17" s="4"/>
      <c r="L17" s="4"/>
      <c r="M17" s="4"/>
    </row>
    <row r="20" spans="2:13" x14ac:dyDescent="0.3">
      <c r="B20" s="5" t="s">
        <v>18</v>
      </c>
      <c r="C20" s="5" t="s">
        <v>19</v>
      </c>
      <c r="D20" s="5" t="s">
        <v>20</v>
      </c>
      <c r="E20" s="7" t="s">
        <v>24</v>
      </c>
      <c r="F20" s="7" t="s">
        <v>25</v>
      </c>
      <c r="G20" s="5" t="s">
        <v>27</v>
      </c>
      <c r="H20" s="5" t="s">
        <v>29</v>
      </c>
    </row>
    <row r="21" spans="2:13" x14ac:dyDescent="0.3">
      <c r="B21" s="3">
        <v>14</v>
      </c>
      <c r="C21" s="3">
        <f>SUM(E4:E17)</f>
        <v>7367.5</v>
      </c>
      <c r="D21" s="3">
        <f>SUM(F4:F17)</f>
        <v>4947735.75</v>
      </c>
      <c r="E21" s="3">
        <f>SUM(C4:C17)</f>
        <v>6700</v>
      </c>
      <c r="F21" s="3">
        <f>SUM(G4:G17)</f>
        <v>4587550</v>
      </c>
      <c r="G21" s="3">
        <f>((B21*F21)-(C21*E21))/((B21*D21)-(C21*C21))</f>
        <v>0.99167385799707664</v>
      </c>
      <c r="H21" s="1">
        <f>(E21-(G21*C21))/B21</f>
        <v>-43.296939199533035</v>
      </c>
    </row>
    <row r="24" spans="2:13" x14ac:dyDescent="0.3">
      <c r="E24" s="6" t="s">
        <v>22</v>
      </c>
      <c r="F24" s="9" t="s">
        <v>28</v>
      </c>
    </row>
    <row r="25" spans="2:13" x14ac:dyDescent="0.3">
      <c r="E25" s="6" t="s">
        <v>23</v>
      </c>
      <c r="F25" s="8" t="s">
        <v>30</v>
      </c>
    </row>
    <row r="26" spans="2:13" x14ac:dyDescent="0.3">
      <c r="D26" s="10" t="s">
        <v>34</v>
      </c>
      <c r="E26" s="11">
        <v>189</v>
      </c>
      <c r="F26" s="12">
        <f>G21*E26+H21</f>
        <v>144.12941996191446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63D8-6EB1-44E4-BB52-13ADCC4ECAB6}">
  <dimension ref="A2:K17"/>
  <sheetViews>
    <sheetView tabSelected="1" workbookViewId="0">
      <selection activeCell="K13" sqref="K13"/>
    </sheetView>
  </sheetViews>
  <sheetFormatPr defaultRowHeight="14.4" x14ac:dyDescent="0.3"/>
  <cols>
    <col min="1" max="1" width="10.5546875" customWidth="1"/>
    <col min="2" max="2" width="11.6640625" customWidth="1"/>
    <col min="3" max="3" width="12.88671875" customWidth="1"/>
    <col min="4" max="4" width="15.77734375" customWidth="1"/>
    <col min="6" max="6" width="26.21875" customWidth="1"/>
    <col min="7" max="7" width="6.77734375" customWidth="1"/>
    <col min="9" max="9" width="14.6640625" customWidth="1"/>
    <col min="10" max="10" width="13.88671875" customWidth="1"/>
    <col min="11" max="11" width="19.77734375" customWidth="1"/>
  </cols>
  <sheetData>
    <row r="2" spans="1:11" x14ac:dyDescent="0.3">
      <c r="A2" t="s">
        <v>35</v>
      </c>
      <c r="B2" s="13" t="s">
        <v>36</v>
      </c>
      <c r="C2" s="13" t="s">
        <v>37</v>
      </c>
      <c r="D2" s="13" t="s">
        <v>39</v>
      </c>
      <c r="F2" s="14" t="s">
        <v>40</v>
      </c>
      <c r="H2" s="15" t="s">
        <v>47</v>
      </c>
      <c r="I2" s="15"/>
      <c r="J2" s="15"/>
      <c r="K2" s="15"/>
    </row>
    <row r="3" spans="1:11" x14ac:dyDescent="0.3">
      <c r="A3" t="s">
        <v>38</v>
      </c>
      <c r="B3" s="3">
        <v>20</v>
      </c>
      <c r="C3" s="3">
        <f t="shared" ref="C3:C17" si="0">(5/B3)*1000</f>
        <v>250</v>
      </c>
      <c r="D3" s="3">
        <v>200.5</v>
      </c>
      <c r="F3" s="14" t="s">
        <v>41</v>
      </c>
      <c r="H3" s="12" t="s">
        <v>33</v>
      </c>
      <c r="I3" s="12" t="s">
        <v>31</v>
      </c>
      <c r="J3" s="12" t="s">
        <v>42</v>
      </c>
      <c r="K3" s="12" t="s">
        <v>44</v>
      </c>
    </row>
    <row r="4" spans="1:11" x14ac:dyDescent="0.3">
      <c r="B4" s="3">
        <v>250</v>
      </c>
      <c r="C4" s="3">
        <f t="shared" si="0"/>
        <v>20</v>
      </c>
      <c r="D4" s="3">
        <v>18.52</v>
      </c>
      <c r="F4" s="14" t="s">
        <v>45</v>
      </c>
      <c r="H4" s="11">
        <v>0.5</v>
      </c>
      <c r="I4" s="12">
        <f>(C17-C3)/(D17-D3)</f>
        <v>1.2468765617191404</v>
      </c>
      <c r="J4" s="12">
        <f>250-(I4*200.5)</f>
        <v>1.2493753123408169E-3</v>
      </c>
      <c r="K4" s="11">
        <f>I4*H4+J4</f>
        <v>0.62468765617191102</v>
      </c>
    </row>
    <row r="5" spans="1:11" x14ac:dyDescent="0.3">
      <c r="B5" s="3">
        <v>500</v>
      </c>
      <c r="C5" s="3">
        <f t="shared" si="0"/>
        <v>10</v>
      </c>
      <c r="D5" s="3">
        <v>9.27</v>
      </c>
      <c r="F5" s="14" t="s">
        <v>46</v>
      </c>
    </row>
    <row r="6" spans="1:11" x14ac:dyDescent="0.3">
      <c r="B6" s="3">
        <v>1000</v>
      </c>
      <c r="C6" s="3">
        <f t="shared" si="0"/>
        <v>5</v>
      </c>
      <c r="D6" s="3">
        <v>4.5999999999999996</v>
      </c>
      <c r="F6" s="14" t="s">
        <v>43</v>
      </c>
    </row>
    <row r="7" spans="1:11" x14ac:dyDescent="0.3">
      <c r="B7" s="3">
        <v>1500</v>
      </c>
      <c r="C7" s="3">
        <f t="shared" si="0"/>
        <v>3.3333333333333335</v>
      </c>
      <c r="D7" s="3">
        <v>3.05</v>
      </c>
    </row>
    <row r="8" spans="1:11" x14ac:dyDescent="0.3">
      <c r="B8" s="3">
        <v>2000</v>
      </c>
      <c r="C8" s="3">
        <f t="shared" si="0"/>
        <v>2.5</v>
      </c>
      <c r="D8" s="3">
        <v>2.25</v>
      </c>
    </row>
    <row r="9" spans="1:11" x14ac:dyDescent="0.3">
      <c r="B9" s="3">
        <v>2500</v>
      </c>
      <c r="C9" s="3">
        <f t="shared" si="0"/>
        <v>2</v>
      </c>
      <c r="D9" s="3">
        <v>1.77</v>
      </c>
    </row>
    <row r="10" spans="1:11" x14ac:dyDescent="0.3">
      <c r="B10" s="3">
        <v>3000</v>
      </c>
      <c r="C10" s="3">
        <f t="shared" si="0"/>
        <v>1.6666666666666667</v>
      </c>
      <c r="D10" s="3">
        <v>1.48</v>
      </c>
    </row>
    <row r="11" spans="1:11" x14ac:dyDescent="0.3">
      <c r="B11" s="3">
        <v>4000</v>
      </c>
      <c r="C11" s="3">
        <f t="shared" si="0"/>
        <v>1.25</v>
      </c>
      <c r="D11" s="3">
        <v>1.08</v>
      </c>
    </row>
    <row r="12" spans="1:11" x14ac:dyDescent="0.3">
      <c r="B12" s="3">
        <v>5000</v>
      </c>
      <c r="C12" s="3">
        <f t="shared" si="0"/>
        <v>1</v>
      </c>
      <c r="D12" s="3">
        <v>0.85</v>
      </c>
    </row>
    <row r="13" spans="1:11" x14ac:dyDescent="0.3">
      <c r="B13" s="3">
        <v>6000</v>
      </c>
      <c r="C13" s="3">
        <f t="shared" si="0"/>
        <v>0.83333333333333337</v>
      </c>
      <c r="D13" s="3">
        <v>0.7</v>
      </c>
    </row>
    <row r="14" spans="1:11" x14ac:dyDescent="0.3">
      <c r="B14" s="3">
        <v>7000</v>
      </c>
      <c r="C14" s="3">
        <f t="shared" si="0"/>
        <v>0.7142857142857143</v>
      </c>
      <c r="D14" s="3">
        <v>0.56999999999999995</v>
      </c>
    </row>
    <row r="15" spans="1:11" x14ac:dyDescent="0.3">
      <c r="B15" s="3">
        <v>8000</v>
      </c>
      <c r="C15" s="3">
        <f t="shared" si="0"/>
        <v>0.625</v>
      </c>
      <c r="D15" s="3">
        <v>0.5</v>
      </c>
    </row>
    <row r="16" spans="1:11" x14ac:dyDescent="0.3">
      <c r="B16" s="3">
        <v>9000</v>
      </c>
      <c r="C16" s="3">
        <f t="shared" si="0"/>
        <v>0.55555555555555558</v>
      </c>
      <c r="D16" s="3">
        <v>0.43</v>
      </c>
    </row>
    <row r="17" spans="2:4" x14ac:dyDescent="0.3">
      <c r="B17" s="3">
        <v>10000</v>
      </c>
      <c r="C17" s="3">
        <f t="shared" si="0"/>
        <v>0.5</v>
      </c>
      <c r="D17" s="3">
        <v>0.4</v>
      </c>
    </row>
  </sheetData>
  <mergeCells count="1"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TOF</vt:lpstr>
      <vt:lpstr>INA226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Hidayat</dc:creator>
  <cp:lastModifiedBy>Christian Riovaldo</cp:lastModifiedBy>
  <dcterms:created xsi:type="dcterms:W3CDTF">2026-07-01T09:59:17Z</dcterms:created>
  <dcterms:modified xsi:type="dcterms:W3CDTF">2026-07-22T10:28:49Z</dcterms:modified>
</cp:coreProperties>
</file>